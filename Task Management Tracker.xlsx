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E394832A-E4D5-41F6-954F-86940032BD20}" xr6:coauthVersionLast="47" xr6:coauthVersionMax="47" xr10:uidLastSave="{00000000-0000-0000-0000-000000000000}"/>
  <bookViews>
    <workbookView xWindow="-108" yWindow="-108" windowWidth="23256" windowHeight="12456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3" i="2"/>
  <c r="F4" i="2"/>
  <c r="F5" i="2"/>
  <c r="F6" i="2"/>
  <c r="F7" i="2"/>
  <c r="F3" i="2"/>
  <c r="C5" i="2"/>
  <c r="C4" i="2"/>
  <c r="C3" i="2"/>
  <c r="C6" i="2" s="1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K3" i="2" l="1"/>
</calcChain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<sst xmlns="http://schemas.openxmlformats.org/spreadsheetml/2006/main" count="120" uniqueCount="71">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</sst>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&quot; Days&quot;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4452A"/>
      </font>
      <fill>
        <patternFill>
          <bgColor rgb="FFFCF4B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4452A"/>
      </font>
      <fill>
        <patternFill>
          <bgColor rgb="FFFCF4B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&quot; Days&quot;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54452A"/>
      <color rgb="FFFCF4B6"/>
      <color rgb="FFC7F9CC"/>
      <color rgb="FFC0E6F5"/>
      <color rgb="FF22577A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# of</a:t>
            </a:r>
            <a:r>
              <a:rPr lang="en-US" baseline="0">
                <a:solidFill>
                  <a:schemeClr val="bg1"/>
                </a:solidFill>
              </a:rPr>
              <a:t> Task by Owner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7F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7-4977-964C-5ADE238DE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246960"/>
        <c:axId val="1407260880"/>
      </c:barChart>
      <c:catAx>
        <c:axId val="140724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60880"/>
        <c:crosses val="autoZero"/>
        <c:auto val="1"/>
        <c:lblAlgn val="ctr"/>
        <c:lblOffset val="100"/>
        <c:noMultiLvlLbl val="0"/>
      </c:catAx>
      <c:valAx>
        <c:axId val="1407260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72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# of Tasks</a:t>
            </a:r>
            <a:r>
              <a:rPr lang="en-US" baseline="0">
                <a:solidFill>
                  <a:schemeClr val="bg1"/>
                </a:solidFill>
              </a:rPr>
              <a:t> by Team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7F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E-46A6-9CD2-6A454D5E50A2}"/>
              </c:ext>
            </c:extLst>
          </c:dPt>
          <c:dPt>
            <c:idx val="1"/>
            <c:invertIfNegative val="0"/>
            <c:bubble3D val="0"/>
            <c:spPr>
              <a:solidFill>
                <a:srgbClr val="C7F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E-46A6-9CD2-6A454D5E50A2}"/>
              </c:ext>
            </c:extLst>
          </c:dPt>
          <c:dPt>
            <c:idx val="2"/>
            <c:invertIfNegative val="0"/>
            <c:bubble3D val="0"/>
            <c:spPr>
              <a:solidFill>
                <a:srgbClr val="C7F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9E-46A6-9CD2-6A454D5E50A2}"/>
              </c:ext>
            </c:extLst>
          </c:dPt>
          <c:dPt>
            <c:idx val="3"/>
            <c:invertIfNegative val="0"/>
            <c:bubble3D val="0"/>
            <c:spPr>
              <a:solidFill>
                <a:srgbClr val="C7F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9E-46A6-9CD2-6A454D5E50A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9E-46A6-9CD2-6A454D5E50A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9E-46A6-9CD2-6A454D5E50A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9E-46A6-9CD2-6A454D5E50A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9E-46A6-9CD2-6A454D5E50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9E-46A6-9CD2-6A454D5E5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3095632"/>
        <c:axId val="1183079312"/>
      </c:barChart>
      <c:catAx>
        <c:axId val="118309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79312"/>
        <c:crosses val="autoZero"/>
        <c:auto val="1"/>
        <c:lblAlgn val="ctr"/>
        <c:lblOffset val="100"/>
        <c:noMultiLvlLbl val="0"/>
      </c:catAx>
      <c:valAx>
        <c:axId val="1183079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30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98778</xdr:colOff>
      <xdr:row>0</xdr:row>
      <xdr:rowOff>28223</xdr:rowOff>
    </xdr:from>
    <xdr:to>
      <xdr:col>11</xdr:col>
      <xdr:colOff>244455</xdr:colOff>
      <xdr:row>2</xdr:row>
      <xdr:rowOff>116384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A6486F86-B371-4EF4-A0AE-13C5CFB11DE6}"/>
            </a:ext>
          </a:extLst>
        </xdr:cNvPr>
        <xdr:cNvSpPr/>
      </xdr:nvSpPr>
      <xdr:spPr>
        <a:xfrm>
          <a:off x="98778" y="28223"/>
          <a:ext cx="12810399" cy="58910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>
              <a:solidFill>
                <a:schemeClr val="lt1"/>
              </a:solidFill>
              <a:latin typeface="+mn-lt"/>
              <a:ea typeface="+mn-ea"/>
              <a:cs typeface="+mn-cs"/>
            </a:rPr>
            <a:t>Task Management Tracker</a:t>
          </a:r>
        </a:p>
      </xdr:txBody>
    </xdr:sp>
    <xdr:clientData/>
  </xdr:twoCellAnchor>
  <xdr:twoCellAnchor>
    <xdr:from>
      <xdr:col>0</xdr:col>
      <xdr:colOff>112888</xdr:colOff>
      <xdr:row>2</xdr:row>
      <xdr:rowOff>176389</xdr:rowOff>
    </xdr:from>
    <xdr:to>
      <xdr:col>2</xdr:col>
      <xdr:colOff>324556</xdr:colOff>
      <xdr:row>7</xdr:row>
      <xdr:rowOff>141111</xdr:rowOff>
    </xdr:to>
    <xdr:sp macro="" textlink="">
      <xdr:nvSpPr>
        <xdr:cNvPr id="3" name="Rounded Rectangle 14">
          <a:extLst>
            <a:ext uri="{FF2B5EF4-FFF2-40B4-BE49-F238E27FC236}">
              <a16:creationId xmlns:a16="http://schemas.microsoft.com/office/drawing/2014/main" id="{F21B7E15-DEFF-4AA8-A87D-11E3B27FD767}"/>
            </a:ext>
          </a:extLst>
        </xdr:cNvPr>
        <xdr:cNvSpPr/>
      </xdr:nvSpPr>
      <xdr:spPr>
        <a:xfrm>
          <a:off x="112888" y="681383"/>
          <a:ext cx="1108934" cy="95667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476955</xdr:colOff>
      <xdr:row>2</xdr:row>
      <xdr:rowOff>173567</xdr:rowOff>
    </xdr:from>
    <xdr:to>
      <xdr:col>2</xdr:col>
      <xdr:colOff>1591734</xdr:colOff>
      <xdr:row>7</xdr:row>
      <xdr:rowOff>138289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BCDA2025-5136-C8C2-C3E9-DBC01B4BF7D8}"/>
            </a:ext>
          </a:extLst>
        </xdr:cNvPr>
        <xdr:cNvSpPr/>
      </xdr:nvSpPr>
      <xdr:spPr>
        <a:xfrm>
          <a:off x="1376764" y="676163"/>
          <a:ext cx="1114779" cy="937488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449318</xdr:colOff>
      <xdr:row>8</xdr:row>
      <xdr:rowOff>142213</xdr:rowOff>
    </xdr:from>
    <xdr:to>
      <xdr:col>2</xdr:col>
      <xdr:colOff>1564097</xdr:colOff>
      <xdr:row>13</xdr:row>
      <xdr:rowOff>106935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6D946167-902C-59A9-E3CC-318B1529F587}"/>
            </a:ext>
          </a:extLst>
        </xdr:cNvPr>
        <xdr:cNvSpPr/>
      </xdr:nvSpPr>
      <xdr:spPr>
        <a:xfrm>
          <a:off x="1346584" y="1837550"/>
          <a:ext cx="1114779" cy="95667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1814508</xdr:colOff>
      <xdr:row>2</xdr:row>
      <xdr:rowOff>189779</xdr:rowOff>
    </xdr:from>
    <xdr:to>
      <xdr:col>6</xdr:col>
      <xdr:colOff>632298</xdr:colOff>
      <xdr:row>13</xdr:row>
      <xdr:rowOff>89169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75DD6A24-DD90-32DA-C0A2-F3F156E3E015}"/>
            </a:ext>
          </a:extLst>
        </xdr:cNvPr>
        <xdr:cNvSpPr/>
      </xdr:nvSpPr>
      <xdr:spPr>
        <a:xfrm>
          <a:off x="2714317" y="692375"/>
          <a:ext cx="3795109" cy="2039475"/>
        </a:xfrm>
        <a:prstGeom prst="roundRect">
          <a:avLst>
            <a:gd name="adj" fmla="val 10985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783376</xdr:colOff>
      <xdr:row>3</xdr:row>
      <xdr:rowOff>1711</xdr:rowOff>
    </xdr:from>
    <xdr:to>
      <xdr:col>10</xdr:col>
      <xdr:colOff>719847</xdr:colOff>
      <xdr:row>13</xdr:row>
      <xdr:rowOff>95654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DD3D5F67-4300-F44C-5FA4-24A52B38DAF2}"/>
            </a:ext>
          </a:extLst>
        </xdr:cNvPr>
        <xdr:cNvSpPr/>
      </xdr:nvSpPr>
      <xdr:spPr>
        <a:xfrm>
          <a:off x="6660410" y="711159"/>
          <a:ext cx="3790265" cy="2108426"/>
        </a:xfrm>
        <a:prstGeom prst="roundRect">
          <a:avLst>
            <a:gd name="adj" fmla="val 10985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875710</xdr:colOff>
      <xdr:row>3</xdr:row>
      <xdr:rowOff>833</xdr:rowOff>
    </xdr:from>
    <xdr:to>
      <xdr:col>11</xdr:col>
      <xdr:colOff>256083</xdr:colOff>
      <xdr:row>13</xdr:row>
      <xdr:rowOff>81807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47199139-F797-7DA6-286E-CAF9191C8D6C}"/>
            </a:ext>
          </a:extLst>
        </xdr:cNvPr>
        <xdr:cNvSpPr/>
      </xdr:nvSpPr>
      <xdr:spPr>
        <a:xfrm>
          <a:off x="10623420" y="703934"/>
          <a:ext cx="2292170" cy="2068801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198391</xdr:colOff>
      <xdr:row>3</xdr:row>
      <xdr:rowOff>62214</xdr:rowOff>
    </xdr:from>
    <xdr:to>
      <xdr:col>2</xdr:col>
      <xdr:colOff>302095</xdr:colOff>
      <xdr:row>5</xdr:row>
      <xdr:rowOff>13527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F35331-ADC0-55D5-8B84-1EC596A5D0AE}"/>
            </a:ext>
          </a:extLst>
        </xdr:cNvPr>
        <xdr:cNvSpPr txBox="1"/>
      </xdr:nvSpPr>
      <xdr:spPr>
        <a:xfrm>
          <a:off x="198391" y="765599"/>
          <a:ext cx="1000970" cy="348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Completed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261513</xdr:colOff>
      <xdr:row>4</xdr:row>
      <xdr:rowOff>88364</xdr:rowOff>
    </xdr:from>
    <xdr:to>
      <xdr:col>2</xdr:col>
      <xdr:colOff>161416</xdr:colOff>
      <xdr:row>7</xdr:row>
      <xdr:rowOff>58615</xdr:rowOff>
    </xdr:to>
    <xdr:sp macro="" textlink="'Support Sheet'!C3">
      <xdr:nvSpPr>
        <xdr:cNvPr id="11" name="TextBox 10">
          <a:extLst>
            <a:ext uri="{FF2B5EF4-FFF2-40B4-BE49-F238E27FC236}">
              <a16:creationId xmlns:a16="http://schemas.microsoft.com/office/drawing/2014/main" id="{C0228740-DF3B-70DF-328C-F177FFED1394}"/>
            </a:ext>
          </a:extLst>
        </xdr:cNvPr>
        <xdr:cNvSpPr txBox="1"/>
      </xdr:nvSpPr>
      <xdr:spPr>
        <a:xfrm>
          <a:off x="261513" y="990139"/>
          <a:ext cx="797169" cy="565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A0DDE0F-6880-44EE-9FE1-D972AA5E4D19}" type="TxLink">
            <a:rPr lang="en-US" sz="3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7</a:t>
          </a:fld>
          <a:endParaRPr lang="en-US" sz="3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518522</xdr:colOff>
      <xdr:row>3</xdr:row>
      <xdr:rowOff>67633</xdr:rowOff>
    </xdr:from>
    <xdr:to>
      <xdr:col>2</xdr:col>
      <xdr:colOff>1519492</xdr:colOff>
      <xdr:row>4</xdr:row>
      <xdr:rowOff>193883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23B4BCE-D83D-894C-E7A3-3A9E2D8E43B6}"/>
            </a:ext>
          </a:extLst>
        </xdr:cNvPr>
        <xdr:cNvSpPr txBox="1"/>
      </xdr:nvSpPr>
      <xdr:spPr>
        <a:xfrm>
          <a:off x="1415788" y="771018"/>
          <a:ext cx="1000970" cy="32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Not started</a:t>
          </a:r>
          <a:endParaRPr lang="en-U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577134</xdr:colOff>
      <xdr:row>4</xdr:row>
      <xdr:rowOff>70330</xdr:rowOff>
    </xdr:from>
    <xdr:to>
      <xdr:col>2</xdr:col>
      <xdr:colOff>1374303</xdr:colOff>
      <xdr:row>7</xdr:row>
      <xdr:rowOff>40580</xdr:rowOff>
    </xdr:to>
    <xdr:sp macro="" textlink="'Support Sheet'!C5">
      <xdr:nvSpPr>
        <xdr:cNvPr id="17" name="TextBox 16">
          <a:extLst>
            <a:ext uri="{FF2B5EF4-FFF2-40B4-BE49-F238E27FC236}">
              <a16:creationId xmlns:a16="http://schemas.microsoft.com/office/drawing/2014/main" id="{D537EAED-41CE-C6D6-1334-262A39DFCA54}"/>
            </a:ext>
          </a:extLst>
        </xdr:cNvPr>
        <xdr:cNvSpPr txBox="1"/>
      </xdr:nvSpPr>
      <xdr:spPr>
        <a:xfrm>
          <a:off x="1474400" y="972105"/>
          <a:ext cx="797169" cy="565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9FD0A0F-9758-41E9-B566-5293BB6B986C}" type="TxLink">
            <a:rPr lang="en-US" sz="3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3</a:t>
          </a:fld>
          <a:endParaRPr lang="en-US" sz="3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116244</xdr:colOff>
      <xdr:row>8</xdr:row>
      <xdr:rowOff>137496</xdr:rowOff>
    </xdr:from>
    <xdr:to>
      <xdr:col>2</xdr:col>
      <xdr:colOff>333757</xdr:colOff>
      <xdr:row>13</xdr:row>
      <xdr:rowOff>102218</xdr:rowOff>
    </xdr:to>
    <xdr:sp macro="" textlink="">
      <xdr:nvSpPr>
        <xdr:cNvPr id="18" name="Rounded Rectangle 14">
          <a:extLst>
            <a:ext uri="{FF2B5EF4-FFF2-40B4-BE49-F238E27FC236}">
              <a16:creationId xmlns:a16="http://schemas.microsoft.com/office/drawing/2014/main" id="{43D2E9E9-7715-A8F5-16CC-298EFF500948}"/>
            </a:ext>
          </a:extLst>
        </xdr:cNvPr>
        <xdr:cNvSpPr/>
      </xdr:nvSpPr>
      <xdr:spPr>
        <a:xfrm>
          <a:off x="116244" y="1832833"/>
          <a:ext cx="1114779" cy="95667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193883</xdr:colOff>
      <xdr:row>9</xdr:row>
      <xdr:rowOff>45089</xdr:rowOff>
    </xdr:from>
    <xdr:to>
      <xdr:col>2</xdr:col>
      <xdr:colOff>297587</xdr:colOff>
      <xdr:row>10</xdr:row>
      <xdr:rowOff>171339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53E7B93-5709-BB00-21A8-4C4D13AC2FE9}"/>
            </a:ext>
          </a:extLst>
        </xdr:cNvPr>
        <xdr:cNvSpPr txBox="1"/>
      </xdr:nvSpPr>
      <xdr:spPr>
        <a:xfrm>
          <a:off x="193883" y="1938817"/>
          <a:ext cx="1000970" cy="324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In Progress</a:t>
          </a:r>
          <a:endParaRPr lang="en-U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9015</xdr:colOff>
      <xdr:row>10</xdr:row>
      <xdr:rowOff>52295</xdr:rowOff>
    </xdr:from>
    <xdr:to>
      <xdr:col>2</xdr:col>
      <xdr:colOff>174942</xdr:colOff>
      <xdr:row>13</xdr:row>
      <xdr:rowOff>13527</xdr:rowOff>
    </xdr:to>
    <xdr:sp macro="" textlink="'Support Sheet'!C4">
      <xdr:nvSpPr>
        <xdr:cNvPr id="20" name="TextBox 19">
          <a:extLst>
            <a:ext uri="{FF2B5EF4-FFF2-40B4-BE49-F238E27FC236}">
              <a16:creationId xmlns:a16="http://schemas.microsoft.com/office/drawing/2014/main" id="{1CEB287A-4404-3946-F721-B8604777E035}"/>
            </a:ext>
          </a:extLst>
        </xdr:cNvPr>
        <xdr:cNvSpPr txBox="1"/>
      </xdr:nvSpPr>
      <xdr:spPr>
        <a:xfrm>
          <a:off x="275039" y="2144413"/>
          <a:ext cx="797169" cy="556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F4D5DF5-7FEE-4C8C-AB5F-2A5ABC9CC48A}" type="TxLink">
            <a:rPr lang="en-US" sz="3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5</a:t>
          </a:fld>
          <a:endParaRPr lang="en-US" sz="3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518522</xdr:colOff>
      <xdr:row>9</xdr:row>
      <xdr:rowOff>54107</xdr:rowOff>
    </xdr:from>
    <xdr:to>
      <xdr:col>2</xdr:col>
      <xdr:colOff>1519492</xdr:colOff>
      <xdr:row>10</xdr:row>
      <xdr:rowOff>180357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550A5E0-CE7F-5A26-C0C1-6A6FF0476ECE}"/>
            </a:ext>
          </a:extLst>
        </xdr:cNvPr>
        <xdr:cNvSpPr txBox="1"/>
      </xdr:nvSpPr>
      <xdr:spPr>
        <a:xfrm>
          <a:off x="1424455" y="1916774"/>
          <a:ext cx="1000970" cy="320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Total</a:t>
          </a:r>
          <a:endParaRPr lang="en-U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604188</xdr:colOff>
      <xdr:row>10</xdr:row>
      <xdr:rowOff>47786</xdr:rowOff>
    </xdr:from>
    <xdr:to>
      <xdr:col>2</xdr:col>
      <xdr:colOff>1401357</xdr:colOff>
      <xdr:row>13</xdr:row>
      <xdr:rowOff>36071</xdr:rowOff>
    </xdr:to>
    <xdr:sp macro="" textlink="'Support Sheet'!C6">
      <xdr:nvSpPr>
        <xdr:cNvPr id="23" name="TextBox 22">
          <a:extLst>
            <a:ext uri="{FF2B5EF4-FFF2-40B4-BE49-F238E27FC236}">
              <a16:creationId xmlns:a16="http://schemas.microsoft.com/office/drawing/2014/main" id="{2FDA2AC7-2A56-D70A-6DAC-0F936A1C8116}"/>
            </a:ext>
          </a:extLst>
        </xdr:cNvPr>
        <xdr:cNvSpPr txBox="1"/>
      </xdr:nvSpPr>
      <xdr:spPr>
        <a:xfrm>
          <a:off x="1510121" y="2105186"/>
          <a:ext cx="797169" cy="572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0271695-9C86-498A-A4A8-C4D8E55E2FEA}" type="TxLink">
            <a:rPr lang="en-US" sz="3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15</a:t>
          </a:fld>
          <a:endParaRPr lang="en-US" sz="3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1895917</xdr:colOff>
      <xdr:row>3</xdr:row>
      <xdr:rowOff>49159</xdr:rowOff>
    </xdr:from>
    <xdr:to>
      <xdr:col>6</xdr:col>
      <xdr:colOff>606322</xdr:colOff>
      <xdr:row>13</xdr:row>
      <xdr:rowOff>49161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892C811-B4C6-4D97-A085-A4BC9B08A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843281</xdr:colOff>
      <xdr:row>3</xdr:row>
      <xdr:rowOff>50799</xdr:rowOff>
    </xdr:from>
    <xdr:to>
      <xdr:col>10</xdr:col>
      <xdr:colOff>621323</xdr:colOff>
      <xdr:row>13</xdr:row>
      <xdr:rowOff>17583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660334A-E18C-4C09-899F-E016D9766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1030725</xdr:colOff>
      <xdr:row>4</xdr:row>
      <xdr:rowOff>54107</xdr:rowOff>
    </xdr:from>
    <xdr:to>
      <xdr:col>11</xdr:col>
      <xdr:colOff>184058</xdr:colOff>
      <xdr:row>6</xdr:row>
      <xdr:rowOff>95710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3EFCB33-13B6-E37B-C808-58A280C10E24}"/>
            </a:ext>
          </a:extLst>
        </xdr:cNvPr>
        <xdr:cNvSpPr txBox="1"/>
      </xdr:nvSpPr>
      <xdr:spPr>
        <a:xfrm>
          <a:off x="10778435" y="955991"/>
          <a:ext cx="2065130" cy="439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Overdue Tasks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1404103</xdr:colOff>
      <xdr:row>5</xdr:row>
      <xdr:rowOff>40425</xdr:rowOff>
    </xdr:from>
    <xdr:to>
      <xdr:col>10</xdr:col>
      <xdr:colOff>2699027</xdr:colOff>
      <xdr:row>11</xdr:row>
      <xdr:rowOff>106017</xdr:rowOff>
    </xdr:to>
    <xdr:sp macro="" textlink="'Support Sheet'!K3">
      <xdr:nvSpPr>
        <xdr:cNvPr id="28" name="TextBox 27">
          <a:extLst>
            <a:ext uri="{FF2B5EF4-FFF2-40B4-BE49-F238E27FC236}">
              <a16:creationId xmlns:a16="http://schemas.microsoft.com/office/drawing/2014/main" id="{2AE88B97-F4F9-F8A9-612A-894E8B180B29}"/>
            </a:ext>
          </a:extLst>
        </xdr:cNvPr>
        <xdr:cNvSpPr txBox="1"/>
      </xdr:nvSpPr>
      <xdr:spPr>
        <a:xfrm>
          <a:off x="11144451" y="1140355"/>
          <a:ext cx="1294924" cy="1258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54F4271-EF5C-4707-B83D-C7D416DAC257}" type="TxLink">
            <a:rPr lang="en-US" sz="9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8</a:t>
          </a:fld>
          <a:endParaRPr lang="en-US" sz="9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D0E96-96F4-4FE0-8303-A259316BAC4E}" name="Table1" displayName="Table1" ref="B16:K32" totalsRowShown="0" headerRowDxfId="19" headerRowCellStyle="Normal 2">
  <autoFilter ref="B16:K32" xr:uid="{BF2D0E96-96F4-4FE0-8303-A259316BAC4E}"/>
  <tableColumns count="10">
    <tableColumn id="1" xr3:uid="{7B39F482-4150-4884-9BF5-161AB94B2D8C}" name="Task ID" dataDxfId="18"/>
    <tableColumn id="2" xr3:uid="{1D60BB91-0160-4604-8CF8-38416CC90EA7}" name="Task Name"/>
    <tableColumn id="3" xr3:uid="{22E9671B-8AD9-44EB-B453-2854946CE813}" name="Team"/>
    <tableColumn id="4" xr3:uid="{A72E5E12-14E2-41F2-8ABF-F56871F132CE}" name="Task Owner"/>
    <tableColumn id="5" xr3:uid="{E6CAEF32-A544-4C12-A49F-4BDD087DBD97}" name="Start Date" dataDxfId="17"/>
    <tableColumn id="6" xr3:uid="{BBBB7696-4F12-4B35-B8CA-53A4DDB5D4E6}" name="Due Date" dataDxfId="16"/>
    <tableColumn id="7" xr3:uid="{B642D51E-40EE-462D-963F-6500B1EE1F6A}" name="Task Duration" dataDxfId="15">
      <calculatedColumnFormula>Table1[[#This Row],[Due Date]]-Table1[[#This Row],[Start Date]]</calculatedColumnFormula>
    </tableColumn>
    <tableColumn id="8" xr3:uid="{DA1DF26F-8A64-49A2-ACA0-919A35C4EFC9}" name="Status" dataDxfId="14"/>
    <tableColumn id="9" xr3:uid="{578B3CA6-B8C4-4A73-A3D9-332A70E85B34}" name="Overdue?" dataDxfId="13">
      <calculatedColumnFormula>AND(Table1[[#This Row],[Status]]&lt;&gt;"Completed",Table1[[#This Row],[Due Date]]&lt;TODAY())</calculatedColumnFormula>
    </tableColumn>
    <tableColumn id="10" xr3:uid="{FC042576-71FE-4F3C-8B41-4AA0AB7C3D2A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32"/>
  <sheetViews>
    <sheetView showGridLines="0" tabSelected="1" zoomScale="70" zoomScaleNormal="143" workbookViewId="0">
      <pane ySplit="16" topLeftCell="A17" activePane="bottomLeft" state="frozen"/>
      <selection pane="bottomLeft" activeCell="O9" sqref="O9"/>
    </sheetView>
  </sheetViews>
  <sheetFormatPr defaultColWidth="11.19921875" defaultRowHeight="15.6" x14ac:dyDescent="0.3"/>
  <cols>
    <col min="1" max="1" width="3.5" customWidth="1"/>
    <col min="2" max="2" width="8.296875" style="1" customWidth="1"/>
    <col min="3" max="3" width="28.796875" customWidth="1"/>
    <col min="5" max="5" width="14.19921875" bestFit="1" customWidth="1"/>
    <col min="8" max="8" width="16.09765625" customWidth="1"/>
    <col min="9" max="9" width="12.19921875" style="1" customWidth="1"/>
    <col min="11" max="11" width="38.19921875" customWidth="1"/>
  </cols>
  <sheetData>
    <row r="1" spans="2:11" ht="24" customHeight="1" x14ac:dyDescent="0.3"/>
    <row r="16" spans="2:11" x14ac:dyDescent="0.3">
      <c r="B16" s="4" t="s">
        <v>1</v>
      </c>
      <c r="C16" s="4" t="s">
        <v>0</v>
      </c>
      <c r="D16" s="4" t="s">
        <v>70</v>
      </c>
      <c r="E16" s="4" t="s">
        <v>6</v>
      </c>
      <c r="F16" s="4" t="s">
        <v>2</v>
      </c>
      <c r="G16" s="4" t="s">
        <v>3</v>
      </c>
      <c r="H16" s="4" t="s">
        <v>11</v>
      </c>
      <c r="I16" s="4" t="s">
        <v>4</v>
      </c>
      <c r="J16" s="4" t="s">
        <v>5</v>
      </c>
      <c r="K16" s="4" t="s">
        <v>7</v>
      </c>
    </row>
    <row r="17" spans="2:11" x14ac:dyDescent="0.3">
      <c r="B17" s="1" t="s">
        <v>13</v>
      </c>
      <c r="C17" t="s">
        <v>14</v>
      </c>
      <c r="D17" t="s">
        <v>65</v>
      </c>
      <c r="E17" t="s">
        <v>15</v>
      </c>
      <c r="F17" s="2">
        <v>45902</v>
      </c>
      <c r="G17" s="2">
        <v>45920</v>
      </c>
      <c r="H17" s="6">
        <f>Table1[[#This Row],[Due Date]]-Table1[[#This Row],[Start Date]]</f>
        <v>18</v>
      </c>
      <c r="I17" s="1" t="s">
        <v>16</v>
      </c>
      <c r="J17" s="1" t="b">
        <f ca="1">AND(Table1[[#This Row],[Status]]&lt;&gt;"Completed",Table1[[#This Row],[Due Date]]&lt;TODAY())</f>
        <v>0</v>
      </c>
      <c r="K17" t="s">
        <v>17</v>
      </c>
    </row>
    <row r="18" spans="2:11" x14ac:dyDescent="0.3">
      <c r="B18" s="1" t="s">
        <v>18</v>
      </c>
      <c r="C18" t="s">
        <v>62</v>
      </c>
      <c r="D18" t="s">
        <v>57</v>
      </c>
      <c r="E18" t="s">
        <v>15</v>
      </c>
      <c r="F18" s="2">
        <v>45905</v>
      </c>
      <c r="G18" s="2">
        <v>45925</v>
      </c>
      <c r="H18" s="6">
        <f>Table1[[#This Row],[Due Date]]-Table1[[#This Row],[Start Date]]</f>
        <v>20</v>
      </c>
      <c r="I18" s="1" t="s">
        <v>16</v>
      </c>
      <c r="J18" s="1" t="b">
        <f ca="1">AND(Table1[[#This Row],[Status]]&lt;&gt;"Completed",Table1[[#This Row],[Due Date]]&lt;TODAY())</f>
        <v>0</v>
      </c>
      <c r="K18" t="s">
        <v>20</v>
      </c>
    </row>
    <row r="19" spans="2:11" x14ac:dyDescent="0.3">
      <c r="B19" s="1" t="s">
        <v>21</v>
      </c>
      <c r="C19" t="s">
        <v>22</v>
      </c>
      <c r="D19" t="s">
        <v>57</v>
      </c>
      <c r="E19" t="s">
        <v>19</v>
      </c>
      <c r="F19" s="2">
        <v>45848</v>
      </c>
      <c r="G19" s="2">
        <v>45874</v>
      </c>
      <c r="H19" s="6">
        <f>Table1[[#This Row],[Due Date]]-Table1[[#This Row],[Start Date]]</f>
        <v>26</v>
      </c>
      <c r="I19" s="1" t="s">
        <v>8</v>
      </c>
      <c r="J19" s="1" t="b">
        <f ca="1">AND(Table1[[#This Row],[Status]]&lt;&gt;"Completed",Table1[[#This Row],[Due Date]]&lt;TODAY())</f>
        <v>1</v>
      </c>
      <c r="K19" t="s">
        <v>23</v>
      </c>
    </row>
    <row r="20" spans="2:11" x14ac:dyDescent="0.3">
      <c r="B20" s="1" t="s">
        <v>24</v>
      </c>
      <c r="C20" t="s">
        <v>25</v>
      </c>
      <c r="D20" t="s">
        <v>65</v>
      </c>
      <c r="E20" t="s">
        <v>15</v>
      </c>
      <c r="F20" s="2">
        <v>45912</v>
      </c>
      <c r="G20" s="2">
        <v>45930</v>
      </c>
      <c r="H20" s="6">
        <f>Table1[[#This Row],[Due Date]]-Table1[[#This Row],[Start Date]]</f>
        <v>18</v>
      </c>
      <c r="I20" s="1" t="s">
        <v>16</v>
      </c>
      <c r="J20" s="1" t="b">
        <f ca="1">AND(Table1[[#This Row],[Status]]&lt;&gt;"Completed",Table1[[#This Row],[Due Date]]&lt;TODAY())</f>
        <v>0</v>
      </c>
      <c r="K20" t="s">
        <v>27</v>
      </c>
    </row>
    <row r="21" spans="2:11" x14ac:dyDescent="0.3">
      <c r="B21" s="1" t="s">
        <v>28</v>
      </c>
      <c r="C21" t="s">
        <v>29</v>
      </c>
      <c r="D21" t="s">
        <v>57</v>
      </c>
      <c r="E21" t="s">
        <v>26</v>
      </c>
      <c r="F21" s="2">
        <v>45915</v>
      </c>
      <c r="G21" s="2">
        <v>45940</v>
      </c>
      <c r="H21" s="6">
        <f>Table1[[#This Row],[Due Date]]-Table1[[#This Row],[Start Date]]</f>
        <v>25</v>
      </c>
      <c r="I21" s="1" t="s">
        <v>8</v>
      </c>
      <c r="J21" s="1" t="b">
        <f ca="1">AND(Table1[[#This Row],[Status]]&lt;&gt;"Completed",Table1[[#This Row],[Due Date]]&lt;TODAY())</f>
        <v>1</v>
      </c>
      <c r="K21" t="s">
        <v>31</v>
      </c>
    </row>
    <row r="22" spans="2:11" x14ac:dyDescent="0.3">
      <c r="B22" s="1" t="s">
        <v>32</v>
      </c>
      <c r="C22" t="s">
        <v>33</v>
      </c>
      <c r="D22" t="s">
        <v>66</v>
      </c>
      <c r="E22" t="s">
        <v>19</v>
      </c>
      <c r="F22" s="2">
        <v>45918</v>
      </c>
      <c r="G22" s="2">
        <v>45945</v>
      </c>
      <c r="H22" s="6">
        <f>Table1[[#This Row],[Due Date]]-Table1[[#This Row],[Start Date]]</f>
        <v>27</v>
      </c>
      <c r="I22" s="1" t="s">
        <v>8</v>
      </c>
      <c r="J22" s="1" t="b">
        <f ca="1">AND(Table1[[#This Row],[Status]]&lt;&gt;"Completed",Table1[[#This Row],[Due Date]]&lt;TODAY())</f>
        <v>1</v>
      </c>
      <c r="K22" t="s">
        <v>35</v>
      </c>
    </row>
    <row r="23" spans="2:11" x14ac:dyDescent="0.3">
      <c r="B23" s="1" t="s">
        <v>36</v>
      </c>
      <c r="C23" t="s">
        <v>63</v>
      </c>
      <c r="D23" t="s">
        <v>66</v>
      </c>
      <c r="E23" t="s">
        <v>30</v>
      </c>
      <c r="F23" s="2">
        <v>45889</v>
      </c>
      <c r="G23" s="2">
        <v>45896</v>
      </c>
      <c r="H23" s="6">
        <f>Table1[[#This Row],[Due Date]]-Table1[[#This Row],[Start Date]]</f>
        <v>7</v>
      </c>
      <c r="I23" s="1" t="s">
        <v>9</v>
      </c>
      <c r="J23" s="1" t="b">
        <f ca="1">AND(Table1[[#This Row],[Status]]&lt;&gt;"Completed",Table1[[#This Row],[Due Date]]&lt;TODAY())</f>
        <v>1</v>
      </c>
      <c r="K23" t="s">
        <v>37</v>
      </c>
    </row>
    <row r="24" spans="2:11" x14ac:dyDescent="0.3">
      <c r="B24" s="1" t="s">
        <v>38</v>
      </c>
      <c r="C24" t="s">
        <v>39</v>
      </c>
      <c r="D24" t="s">
        <v>40</v>
      </c>
      <c r="E24" t="s">
        <v>30</v>
      </c>
      <c r="F24" s="2">
        <v>45922</v>
      </c>
      <c r="G24" s="2">
        <v>45942</v>
      </c>
      <c r="H24" s="6">
        <f>Table1[[#This Row],[Due Date]]-Table1[[#This Row],[Start Date]]</f>
        <v>20</v>
      </c>
      <c r="I24" s="1" t="s">
        <v>9</v>
      </c>
      <c r="J24" s="1" t="b">
        <f ca="1">AND(Table1[[#This Row],[Status]]&lt;&gt;"Completed",Table1[[#This Row],[Due Date]]&lt;TODAY())</f>
        <v>1</v>
      </c>
      <c r="K24" t="s">
        <v>41</v>
      </c>
    </row>
    <row r="25" spans="2:11" x14ac:dyDescent="0.3">
      <c r="B25" s="1" t="s">
        <v>42</v>
      </c>
      <c r="C25" t="s">
        <v>43</v>
      </c>
      <c r="D25" t="s">
        <v>66</v>
      </c>
      <c r="E25" t="s">
        <v>15</v>
      </c>
      <c r="F25" s="2">
        <v>45923</v>
      </c>
      <c r="G25" s="2">
        <v>45950</v>
      </c>
      <c r="H25" s="6">
        <f>Table1[[#This Row],[Due Date]]-Table1[[#This Row],[Start Date]]</f>
        <v>27</v>
      </c>
      <c r="I25" s="1" t="s">
        <v>16</v>
      </c>
      <c r="J25" s="1" t="b">
        <f ca="1">AND(Table1[[#This Row],[Status]]&lt;&gt;"Completed",Table1[[#This Row],[Due Date]]&lt;TODAY())</f>
        <v>0</v>
      </c>
      <c r="K25" t="s">
        <v>44</v>
      </c>
    </row>
    <row r="26" spans="2:11" x14ac:dyDescent="0.3">
      <c r="B26" s="1" t="s">
        <v>45</v>
      </c>
      <c r="C26" t="s">
        <v>64</v>
      </c>
      <c r="D26" t="s">
        <v>66</v>
      </c>
      <c r="E26" t="s">
        <v>15</v>
      </c>
      <c r="F26" s="2">
        <v>45924</v>
      </c>
      <c r="G26" s="2">
        <v>45935</v>
      </c>
      <c r="H26" s="6">
        <f>Table1[[#This Row],[Due Date]]-Table1[[#This Row],[Start Date]]</f>
        <v>11</v>
      </c>
      <c r="I26" s="1" t="s">
        <v>8</v>
      </c>
      <c r="J26" s="1" t="b">
        <f ca="1">AND(Table1[[#This Row],[Status]]&lt;&gt;"Completed",Table1[[#This Row],[Due Date]]&lt;TODAY())</f>
        <v>1</v>
      </c>
      <c r="K26" t="s">
        <v>46</v>
      </c>
    </row>
    <row r="27" spans="2:11" x14ac:dyDescent="0.3">
      <c r="B27" s="1" t="s">
        <v>47</v>
      </c>
      <c r="C27" t="s">
        <v>48</v>
      </c>
      <c r="D27" t="s">
        <v>65</v>
      </c>
      <c r="E27" t="s">
        <v>19</v>
      </c>
      <c r="F27" s="2">
        <v>45925</v>
      </c>
      <c r="G27" s="2">
        <v>45932</v>
      </c>
      <c r="H27" s="6">
        <f>Table1[[#This Row],[Due Date]]-Table1[[#This Row],[Start Date]]</f>
        <v>7</v>
      </c>
      <c r="I27" s="1" t="s">
        <v>16</v>
      </c>
      <c r="J27" s="1" t="b">
        <f ca="1">AND(Table1[[#This Row],[Status]]&lt;&gt;"Completed",Table1[[#This Row],[Due Date]]&lt;TODAY())</f>
        <v>0</v>
      </c>
      <c r="K27" t="s">
        <v>49</v>
      </c>
    </row>
    <row r="28" spans="2:11" x14ac:dyDescent="0.3">
      <c r="B28" s="1" t="s">
        <v>50</v>
      </c>
      <c r="C28" t="s">
        <v>67</v>
      </c>
      <c r="D28" s="3" t="s">
        <v>57</v>
      </c>
      <c r="E28" t="s">
        <v>15</v>
      </c>
      <c r="F28" s="2">
        <v>45926</v>
      </c>
      <c r="G28" s="2">
        <v>45960</v>
      </c>
      <c r="H28" s="6">
        <f>Table1[[#This Row],[Due Date]]-Table1[[#This Row],[Start Date]]</f>
        <v>34</v>
      </c>
      <c r="I28" s="1" t="s">
        <v>16</v>
      </c>
      <c r="J28" s="1" t="b">
        <f ca="1">AND(Table1[[#This Row],[Status]]&lt;&gt;"Completed",Table1[[#This Row],[Due Date]]&lt;TODAY())</f>
        <v>0</v>
      </c>
      <c r="K28" t="s">
        <v>51</v>
      </c>
    </row>
    <row r="29" spans="2:11" x14ac:dyDescent="0.3">
      <c r="B29" s="1" t="s">
        <v>52</v>
      </c>
      <c r="C29" t="s">
        <v>53</v>
      </c>
      <c r="D29" s="3" t="s">
        <v>57</v>
      </c>
      <c r="E29" t="s">
        <v>34</v>
      </c>
      <c r="F29" s="2">
        <v>45927</v>
      </c>
      <c r="G29" s="2">
        <v>45937</v>
      </c>
      <c r="H29" s="6">
        <f>Table1[[#This Row],[Due Date]]-Table1[[#This Row],[Start Date]]</f>
        <v>10</v>
      </c>
      <c r="I29" s="1" t="s">
        <v>8</v>
      </c>
      <c r="J29" s="1" t="b">
        <f ca="1">AND(Table1[[#This Row],[Status]]&lt;&gt;"Completed",Table1[[#This Row],[Due Date]]&lt;TODAY())</f>
        <v>1</v>
      </c>
      <c r="K29" t="s">
        <v>54</v>
      </c>
    </row>
    <row r="30" spans="2:11" x14ac:dyDescent="0.3">
      <c r="B30" s="1" t="s">
        <v>55</v>
      </c>
      <c r="C30" t="s">
        <v>56</v>
      </c>
      <c r="D30" t="s">
        <v>57</v>
      </c>
      <c r="E30" t="s">
        <v>34</v>
      </c>
      <c r="F30" s="2">
        <v>45928</v>
      </c>
      <c r="G30" s="2">
        <v>45948</v>
      </c>
      <c r="H30" s="6">
        <f>Table1[[#This Row],[Due Date]]-Table1[[#This Row],[Start Date]]</f>
        <v>20</v>
      </c>
      <c r="I30" s="1" t="s">
        <v>16</v>
      </c>
      <c r="J30" s="1" t="b">
        <f ca="1">AND(Table1[[#This Row],[Status]]&lt;&gt;"Completed",Table1[[#This Row],[Due Date]]&lt;TODAY())</f>
        <v>0</v>
      </c>
      <c r="K30" t="s">
        <v>58</v>
      </c>
    </row>
    <row r="31" spans="2:11" x14ac:dyDescent="0.3">
      <c r="B31" s="1" t="s">
        <v>59</v>
      </c>
      <c r="C31" t="s">
        <v>60</v>
      </c>
      <c r="D31" t="s">
        <v>65</v>
      </c>
      <c r="E31" t="s">
        <v>34</v>
      </c>
      <c r="F31" s="2">
        <v>45929</v>
      </c>
      <c r="G31" s="2">
        <v>45934</v>
      </c>
      <c r="H31" s="6">
        <f>Table1[[#This Row],[Due Date]]-Table1[[#This Row],[Start Date]]</f>
        <v>5</v>
      </c>
      <c r="I31" s="1" t="s">
        <v>9</v>
      </c>
      <c r="J31" s="1" t="b">
        <f ca="1">AND(Table1[[#This Row],[Status]]&lt;&gt;"Completed",Table1[[#This Row],[Due Date]]&lt;TODAY())</f>
        <v>1</v>
      </c>
      <c r="K31" t="s">
        <v>61</v>
      </c>
    </row>
    <row r="32" spans="2:11" x14ac:dyDescent="0.3">
      <c r="F32" s="2"/>
      <c r="G32" s="2"/>
      <c r="H32" s="6"/>
      <c r="J32" s="7"/>
    </row>
  </sheetData>
  <conditionalFormatting sqref="I17:I31">
    <cfRule type="cellIs" dxfId="6" priority="4" operator="equal">
      <formula>"Completed"</formula>
    </cfRule>
    <cfRule type="cellIs" dxfId="5" priority="3" operator="equal">
      <formula>"In progress"</formula>
    </cfRule>
    <cfRule type="cellIs" dxfId="4" priority="2" operator="equal">
      <formula>"Not Started"</formula>
    </cfRule>
  </conditionalFormatting>
  <conditionalFormatting sqref="J17:J31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A21B5F-FCAF-43EC-94FA-40056AB0654A}">
          <x14:formula1>
            <xm:f>'Support Sheet'!$E$3:$E$7</xm:f>
          </x14:formula1>
          <xm:sqref>E17:E32</xm:sqref>
        </x14:dataValidation>
        <x14:dataValidation type="list" allowBlank="1" showInputMessage="1" showErrorMessage="1" xr:uid="{D6E8897F-23C6-4DA3-96F8-6D0C33B4A18E}">
          <x14:formula1>
            <xm:f>'Support Sheet'!$H$3:$H$6</xm:f>
          </x14:formula1>
          <xm:sqref>D17:D31</xm:sqref>
        </x14:dataValidation>
        <x14:dataValidation type="list" allowBlank="1" showInputMessage="1" showErrorMessage="1" xr:uid="{BE875990-2347-4E76-A93D-3C81195D1D3A}">
          <x14:formula1>
            <xm:f>'Support Sheet'!$B$3:$B$6</xm:f>
          </x14:formula1>
          <xm:sqref>I17:I31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topLeftCell="F2" zoomScale="166" zoomScaleNormal="166" workbookViewId="0">
      <selection activeCell="K3" sqref="K3"/>
    </sheetView>
  </sheetViews>
  <sheetFormatPr defaultColWidth="11.19921875" defaultRowHeight="15.6" x14ac:dyDescent="0.3"/>
  <cols>
    <col min="1" max="1" width="3.296875" customWidth="1"/>
    <col min="3" max="3" width="6.19921875" bestFit="1" customWidth="1"/>
    <col min="4" max="4" width="7.796875" customWidth="1"/>
    <col min="5" max="5" width="14.19921875" bestFit="1" customWidth="1"/>
    <col min="6" max="6" width="6.19921875" style="1" bestFit="1" customWidth="1"/>
    <col min="7" max="7" width="7.796875" customWidth="1"/>
    <col min="9" max="9" width="6.19921875" bestFit="1" customWidth="1"/>
    <col min="10" max="10" width="7.796875" customWidth="1"/>
    <col min="11" max="11" width="8" bestFit="1" customWidth="1"/>
  </cols>
  <sheetData>
    <row r="2" spans="2:11" x14ac:dyDescent="0.3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 x14ac:dyDescent="0.3">
      <c r="B3" t="s">
        <v>16</v>
      </c>
      <c r="C3" s="1">
        <f>COUNTIF(Table1[Status],'Support Sheet'!B3)</f>
        <v>7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COUNTIF(Table1[Team],'Support Sheet'!H3)</f>
        <v>4</v>
      </c>
      <c r="K3" s="1">
        <f ca="1">COUNTIF(Table1[Overdue?],TRUE)</f>
        <v>8</v>
      </c>
    </row>
    <row r="4" spans="2:11" x14ac:dyDescent="0.3">
      <c r="B4" t="s">
        <v>8</v>
      </c>
      <c r="C4" s="1">
        <f>COUNTIF(Table1[Status],'Support Sheet'!B4)</f>
        <v>5</v>
      </c>
      <c r="E4" t="s">
        <v>19</v>
      </c>
      <c r="F4" s="1">
        <f>COUNTIF(Table1[Task Owner],'Support Sheet'!E4)</f>
        <v>3</v>
      </c>
      <c r="H4" t="s">
        <v>57</v>
      </c>
      <c r="I4" s="1">
        <f>COUNTIF(Table1[Team],'Support Sheet'!H4)</f>
        <v>6</v>
      </c>
    </row>
    <row r="5" spans="2:11" x14ac:dyDescent="0.3">
      <c r="B5" t="s">
        <v>9</v>
      </c>
      <c r="C5" s="1">
        <f>COUNTIF(Table1[Status],'Support Sheet'!B5)</f>
        <v>3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COUNTIF(Table1[Team],'Support Sheet'!H5)</f>
        <v>4</v>
      </c>
    </row>
    <row r="6" spans="2:11" x14ac:dyDescent="0.3">
      <c r="B6" t="s">
        <v>69</v>
      </c>
      <c r="C6" s="1">
        <f>SUM(C3:C5)</f>
        <v>15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COUNTIF(Table1[Team],'Support Sheet'!H6)</f>
        <v>1</v>
      </c>
    </row>
    <row r="7" spans="2:11" x14ac:dyDescent="0.3">
      <c r="E7" t="s">
        <v>34</v>
      </c>
      <c r="F7" s="1">
        <f>COUNTIF(Table1[Task Owner],'Support Sheet'!E7)</f>
        <v>3</v>
      </c>
      <c r="I7" s="1"/>
    </row>
    <row r="10" spans="2:11" x14ac:dyDescent="0.3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Sharma, Ritika</cp:lastModifiedBy>
  <dcterms:created xsi:type="dcterms:W3CDTF">2025-09-19T00:51:58Z</dcterms:created>
  <dcterms:modified xsi:type="dcterms:W3CDTF">2025-12-25T13:58:10Z</dcterms:modified>
</cp:coreProperties>
</file>